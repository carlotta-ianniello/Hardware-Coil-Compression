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nic01\Personal\Research\Mixing_board_pcb\4x4_compression_matrix\"/>
    </mc:Choice>
  </mc:AlternateContent>
  <xr:revisionPtr revIDLastSave="0" documentId="13_ncr:1_{1B853FF5-D87C-40BF-BFD9-33442090DCB9}" xr6:coauthVersionLast="47" xr6:coauthVersionMax="47" xr10:uidLastSave="{00000000-0000-0000-0000-000000000000}"/>
  <bookViews>
    <workbookView xWindow="28680" yWindow="1725" windowWidth="29040" windowHeight="15720" activeTab="1" xr2:uid="{7BD19AAE-E1AE-44D4-939A-31E742B6A587}"/>
  </bookViews>
  <sheets>
    <sheet name="first draft" sheetId="1" r:id="rId1"/>
    <sheet name="modular 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16" i="2"/>
  <c r="F17" i="2"/>
  <c r="F18" i="2"/>
  <c r="F19" i="2"/>
  <c r="F27" i="2"/>
  <c r="F6" i="2"/>
  <c r="F7" i="2"/>
  <c r="F2" i="2"/>
  <c r="F4" i="2"/>
  <c r="F5" i="2"/>
  <c r="F8" i="2"/>
  <c r="F9" i="2"/>
  <c r="F10" i="2"/>
  <c r="F11" i="2"/>
  <c r="F12" i="2"/>
  <c r="F13" i="2"/>
  <c r="F14" i="2"/>
  <c r="F15" i="2"/>
  <c r="F20" i="2"/>
  <c r="F21" i="2"/>
  <c r="F22" i="2"/>
  <c r="F23" i="2"/>
  <c r="F24" i="2"/>
  <c r="F25" i="2"/>
  <c r="F26" i="2"/>
  <c r="F28" i="2"/>
  <c r="F29" i="2"/>
  <c r="F31" i="2"/>
  <c r="F3" i="2"/>
  <c r="D30" i="2"/>
  <c r="F30" i="2" s="1"/>
  <c r="F14" i="1"/>
  <c r="F15" i="1"/>
  <c r="F23" i="1" s="1"/>
  <c r="F3" i="1"/>
  <c r="F4" i="1"/>
  <c r="F8" i="1"/>
  <c r="F5" i="1"/>
  <c r="F6" i="1"/>
  <c r="F7" i="1"/>
  <c r="F9" i="1"/>
  <c r="F10" i="1"/>
  <c r="F11" i="1"/>
  <c r="F12" i="1"/>
  <c r="F2" i="1"/>
  <c r="F38" i="2" l="1"/>
</calcChain>
</file>

<file path=xl/sharedStrings.xml><?xml version="1.0" encoding="utf-8"?>
<sst xmlns="http://schemas.openxmlformats.org/spreadsheetml/2006/main" count="192" uniqueCount="113">
  <si>
    <t>Part number</t>
  </si>
  <si>
    <t>Vendor</t>
  </si>
  <si>
    <t>Quantity</t>
  </si>
  <si>
    <t>Unit Price</t>
  </si>
  <si>
    <t>Link</t>
  </si>
  <si>
    <t>Description</t>
  </si>
  <si>
    <t>DAT-31R5A-PP+</t>
  </si>
  <si>
    <t>Step attenuator</t>
  </si>
  <si>
    <t xml:space="preserve">Total Price = </t>
  </si>
  <si>
    <t>Mini-Circuits</t>
  </si>
  <si>
    <t>https://www.minicircuits.com/WebStore/dashboard.html?model=DAT-31R5A-PP%2B</t>
  </si>
  <si>
    <t>JSPHS-42+</t>
  </si>
  <si>
    <t>Phase Shifter</t>
  </si>
  <si>
    <t>SCP-4-1W+</t>
  </si>
  <si>
    <t>4 ways splitter</t>
  </si>
  <si>
    <t>https://www.minicircuits.com/WebStore/dashboard.html?model=JSPHS-42%2B</t>
  </si>
  <si>
    <t>https://www.minicircuits.com/WebStore/dashboard.html?model=SCP-4-1W%2B</t>
  </si>
  <si>
    <t>SAM8944-ND</t>
  </si>
  <si>
    <t>CONN MCX JACK STR 50 OHM PCB</t>
  </si>
  <si>
    <t>DigiKey</t>
  </si>
  <si>
    <t>LM358NNS/NOPB-ND</t>
  </si>
  <si>
    <t>IC OPAMP GP 2 CIRCUIT 8DIP</t>
  </si>
  <si>
    <t>https://www.digikey.com/en/products/detail/samtec-inc/MCX-J-P-H-ST-TH1/2685236</t>
  </si>
  <si>
    <t>https://www.digikey.com/en/products/detail/texas-instruments/LM358N-NOPB/6264?gad_source=1&amp;gad_campaignid=20228387720&amp;gbraid=0AAAAADrbLlhH2LFZqvH5DS2z7ohiCqdI0&amp;gclid=Cj0KCQjwjJrCBhCXARIsAI5x66U4hkISbsSK1YK88To2wUerjDpCmWgjfttAAqR2OzgQiLRj1oCu0QYaAqX9EALw_wcB&amp;gclsrc=aw.ds</t>
  </si>
  <si>
    <t>AE9986-ND</t>
  </si>
  <si>
    <t>https://www.digikey.com/en/products/detail/assmann-wsw-components/A-08-LC-TT/821740</t>
  </si>
  <si>
    <t>CONN IC DIP SOCKET 8POS TIN</t>
  </si>
  <si>
    <t>https://www.digikey.com/en/products/detail/lemo/EPB-00-250-NTN/3597321</t>
  </si>
  <si>
    <t>1124-1424-ND</t>
  </si>
  <si>
    <t>CONN NIMCAMAC RCPT STR 50OHM PCB</t>
  </si>
  <si>
    <t>LT1963AEQ#TRPBFCT-ND</t>
  </si>
  <si>
    <t>IC REG LIN POS ADJ 1.5A DDPAK-5</t>
  </si>
  <si>
    <t>RES SMD 10K OHM 1% 3/4W 2010</t>
  </si>
  <si>
    <t>CRCW201010K0FKEF</t>
  </si>
  <si>
    <t>https://www.digikey.com/en/products/detail/vishay-dale/CRCW201010K0FKEF/1174057</t>
  </si>
  <si>
    <t>https://www.digikey.com/en/products/detail/analog-devices-inc/LT1963AEQ-PBF/807749?gad_source=1&amp;gad_campaignid=17922795960&amp;gbraid=0AAAAADrbLljsbssiYFWvFn5jGghqVqdBV&amp;gclid=Cj0KCQjwjJrCBhCXARIsAI5x66XitjM0gGOoE3YyfciIJcqr-rGgBhqkJ-cPWz31ksPBoKymYSUtMxsaAu2HEALw_wcB&amp;gclsrc=aw.ds</t>
  </si>
  <si>
    <t>CRCW201015K0FKEF</t>
  </si>
  <si>
    <t>RES SMD 15K OHM 1% 3/4W 2010</t>
  </si>
  <si>
    <t>https://www.digikey.com/en/products/detail/vishay-dale/CRCW201015K0FKEF/1198590</t>
  </si>
  <si>
    <t>VJ0603Y102JXAAC</t>
  </si>
  <si>
    <t>CAP CER 1000PF 50V X7R 0603</t>
  </si>
  <si>
    <t>TOTAL</t>
  </si>
  <si>
    <t>https://www.digikey.com/en/products/detail/vishay-vitramon/VJ0603Y102JXAAC/8305189</t>
  </si>
  <si>
    <t>315-NC191-ND</t>
  </si>
  <si>
    <t>SMOOTH FLOW TACK FLUX NO-CLEAN I</t>
  </si>
  <si>
    <t>https://www.digikey.com/en/products/detail/chip-quik-inc/NC191/11480391</t>
  </si>
  <si>
    <t>4902P-25G</t>
  </si>
  <si>
    <t>https://www.digikey.com/en/products/detail/mg-chemicals/4902P-25G/7496977</t>
  </si>
  <si>
    <t>LEAD FREE LOW TEMPERATURE SOLDER</t>
  </si>
  <si>
    <t>Qty</t>
  </si>
  <si>
    <t>https://www.digikey.com/en/products/detail/tdk-corporation/C4532X5R1E106K250KA/1923414</t>
  </si>
  <si>
    <t>445-3925-1-ND</t>
  </si>
  <si>
    <t>CAP CER 10UF 25V X5R 1812</t>
  </si>
  <si>
    <t>https://www.digikey.com/en/products/detail/jst-sales-america-inc/B8B-PH-K-S/926617?_gl=1*n0ybr9*_up*MQ..*_gs*MQ..&amp;gclid=Cj0KCQjw37nNBhDkARIsAEBGI8P2qSLNw3bCh5gg9r7G7ZZZjUv-s6CwdrzPc-XVeIKtRt-kr57B29gaAqgpEALw_wcB&amp;gclsrc=aw.ds&amp;gbraid=0AAAAADrbLljjxZwlpBSKDLTjGW_Nytu5Q</t>
  </si>
  <si>
    <t>B8B-PH-K-S</t>
  </si>
  <si>
    <t>CONN HEADER VERT 8POS 2MM</t>
  </si>
  <si>
    <t>https://www.digikey.com/en/products/detail/jst-sales-america-inc/B6B-PH-K-S/926615</t>
  </si>
  <si>
    <t>B6B-PH-K-S</t>
  </si>
  <si>
    <t>CONN HEADER VERT 6POS 2MM</t>
  </si>
  <si>
    <t>https://www.digikey.com/en/products/detail/jst-sales-america-inc/PHR-6/608604</t>
  </si>
  <si>
    <t>PHR-6</t>
  </si>
  <si>
    <t>CONN RCPT HSG 6POS 2.00MM</t>
  </si>
  <si>
    <t>https://www.digikey.com/en/products/detail/jst-sales-america-inc/PHR-8/608630</t>
  </si>
  <si>
    <t>CONN RCPT HSG 8POS 2.00MM</t>
  </si>
  <si>
    <t>PHR-8</t>
  </si>
  <si>
    <t>CONN MCX JACK R/A 50 OHM PCB</t>
  </si>
  <si>
    <t>VTVS3V3ASMF-M3-08</t>
  </si>
  <si>
    <t>TVS DIODE 3.3VWM 8.9VC DO219AB</t>
  </si>
  <si>
    <t>https://www.digikey.com/en/products/detail/vishay-general-semiconductor-diodes-division/VTVS3V3ASMF-M3-08/10260188</t>
  </si>
  <si>
    <t>Total Price</t>
  </si>
  <si>
    <t>ASPHSPH24K203</t>
  </si>
  <si>
    <t>LEAD SKT-SKT 24AWG BLK 8" TIN</t>
  </si>
  <si>
    <t>https://www.digikey.com/en/products/detail/jst-sales-america-inc/ASPHSPH24K203/9918855</t>
  </si>
  <si>
    <t>900-0732305341-ND</t>
  </si>
  <si>
    <t>COAX CBL MCX TO MCX 12"</t>
  </si>
  <si>
    <t>https://www.digikey.com/en/products/detail/molex/0732305341/15291705</t>
  </si>
  <si>
    <t>900-0732305323-ND</t>
  </si>
  <si>
    <t>COAX CABLE MCX TO MCX 6"</t>
  </si>
  <si>
    <t>https://www.digikey.com/en/products/detail/molex/0732305323/15291725</t>
  </si>
  <si>
    <t>https://www.digikey.com/en/products/detail/lemo/ABF-00-250-NTA/3597367?_gl=1*10fobnu*_up*MQ..*_gs*MQ..&amp;gclid=Cj0KCQjwjJrCBhCXARIsAI5x66XitjM0gGOoE3YyfciIJcqr-rGgBhqkJ-cPWz31ksPBoKymYSUtMxsaAu2HEALw_wcB&amp;gclsrc=aw.ds&amp;gbraid=0AAAAADrbLljsbssiYFWvFn5jGghqVqdBV</t>
  </si>
  <si>
    <t>1124-1304-ND</t>
  </si>
  <si>
    <t>COAX ADAPT BNC TO NIM-CAMAC</t>
  </si>
  <si>
    <t>CRCW2010100RFKEF</t>
  </si>
  <si>
    <t>RES SMD 100 OHM 1% 3/4W 2010</t>
  </si>
  <si>
    <t>https://www.digikey.com/en/products/detail/vishay-dale/CRCW2010100RFKEF/1173959</t>
  </si>
  <si>
    <t>SAM10607-ND</t>
  </si>
  <si>
    <t>https://www.digikey.com/en/products/detail/samtec-inc/MCX-J-P-H-RA-TH1/1832454?gclsrc=aw.ds&amp;gad_source=1&amp;gad_campaignid=17336967819&amp;gbraid=0AAAAADrbLlho8Dd-MWZdZ0R2JPfI0fRH-&amp;gclid=Cj0KCQjws83OBhD4ARIsACblj190il6j28v9UY0dAVtfIQtXWvnc2AVcP5nykMyLiV9a2Z74In5zGDoaArt3EALw_wcB</t>
  </si>
  <si>
    <t>Arduino UNO R3</t>
  </si>
  <si>
    <t>Arduino microcontroler</t>
  </si>
  <si>
    <t>Arduino</t>
  </si>
  <si>
    <t xml:space="preserve">https://store-usa.arduino.cc/products/arduino-uno-rev3?utm_source=google&amp;utm_medium=cpc&amp;utm_campaign=US-Pmax&amp;gad_source=1&amp;gad_campaignid=21317508903&amp;gbraid=0AAAAACbEa84Tbj_a0H44vHpis86eaV8Pv&amp;gclid=Cj0KCQjwof_QBhCgARIsADaMzOdNDkvkWkXNT5olmVEk4sYA5OhcJjtMDrS0YDRrdo2Fa2A1SMGev08aAkfPEALw_wcB </t>
  </si>
  <si>
    <t>4 ways splitter/combiner</t>
  </si>
  <si>
    <t>Adafruit</t>
  </si>
  <si>
    <t xml:space="preserve">16-port GPIO </t>
  </si>
  <si>
    <t>8-port DAC 12-bit</t>
  </si>
  <si>
    <t>https://www.adafruit.com/product/6223</t>
  </si>
  <si>
    <t>DAC7578</t>
  </si>
  <si>
    <t>MCP23017</t>
  </si>
  <si>
    <t>https://www.adafruit.com/product/5346</t>
  </si>
  <si>
    <t>LT1963AEQ</t>
  </si>
  <si>
    <t>https://www.digikey.com/en/products/detail/analog-devices-inc/LT1963AEQ-PBF/807749</t>
  </si>
  <si>
    <t>Linear Voltage Regulator IC Positive Adjustable 1 Output 1.5A DDPAK-5</t>
  </si>
  <si>
    <t>CRCW20102K61FKEF</t>
  </si>
  <si>
    <t>RES SMD 2.61K OHM 1% 3/4W 2010</t>
  </si>
  <si>
    <t>https://www.digikey.com/en/products/detail/vishay-dale/CRCW20102K61FKEF/1174028</t>
  </si>
  <si>
    <t>https://www.digikey.com/en/products/detail/vishay-dale/CRCW20101K47FKEF/1174016</t>
  </si>
  <si>
    <t>CRCW20101K47FKEF</t>
  </si>
  <si>
    <t>RES SMD 1.47K OHM 1% 3/4W 2010</t>
  </si>
  <si>
    <t>RES SMD 11.8K OHM 1% 3/4W 2010</t>
  </si>
  <si>
    <t>CRCW201011K8FKTF</t>
  </si>
  <si>
    <t>https://www.digikey.com/en/products/detail/vishay-dale/CRCW201011K8FKEF/1198584</t>
  </si>
  <si>
    <t>https://www.digikey.com/en/products/detail/lemo/ABF-00-250-NTA/3597367</t>
  </si>
  <si>
    <t>ABF.00.250.NTA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</si>
</sst>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7"/>
      <color rgb="FF000000"/>
      <name val="RobotoCondensed-Regula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0" fontId="3" fillId="0" borderId="0" xfId="1"/>
    <xf numFmtId="0" fontId="4" fillId="0" borderId="0" xfId="0" applyFont="1" applyAlignment="1">
      <alignment vertical="center" wrapText="1"/>
    </xf>
    <xf numFmtId="0" fontId="0" fillId="0" borderId="0" xfId="0" applyFont="1"/>
    <xf numFmtId="164" fontId="0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1" applyAlignment="1">
      <alignment horizontal="fill" vertical="center"/>
    </xf>
    <xf numFmtId="0" fontId="0" fillId="0" borderId="0" xfId="0" applyAlignment="1">
      <alignment horizontal="fill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lemo/EPB-00-250-NTN/359732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dale/CRCW201010K0FKEF/1174057" TargetMode="External"/><Relationship Id="rId13" Type="http://schemas.openxmlformats.org/officeDocument/2006/relationships/hyperlink" Target="https://www.digikey.com/en/products/detail/jst-sales-america-inc/B8B-PH-K-S/926617?_gl=1*n0ybr9*_up*MQ..*_gs*MQ..&amp;gclid=Cj0KCQjw37nNBhDkARIsAEBGI8P2qSLNw3bCh5gg9r7G7ZZZjUv-s6CwdrzPc-XVeIKtRt-kr57B29gaAqgpEALw_wcB&amp;gclsrc=aw.ds&amp;gbraid=0AAAAADrbLljjxZwlpBSKDLTjGW_Nytu5Q" TargetMode="External"/><Relationship Id="rId18" Type="http://schemas.openxmlformats.org/officeDocument/2006/relationships/hyperlink" Target="https://www.digikey.com/en/products/detail/molex/0732305323/15291725" TargetMode="External"/><Relationship Id="rId3" Type="http://schemas.openxmlformats.org/officeDocument/2006/relationships/hyperlink" Target="https://www.minicircuits.com/WebStore/dashboard.html?model=JSPHS-42%2B" TargetMode="External"/><Relationship Id="rId21" Type="http://schemas.openxmlformats.org/officeDocument/2006/relationships/hyperlink" Target="https://www.digikey.com/en/products/detail/jst-sales-america-inc/PHR-8/608630" TargetMode="External"/><Relationship Id="rId7" Type="http://schemas.openxmlformats.org/officeDocument/2006/relationships/hyperlink" Target="https://www.digikey.com/en/products/detail/samtec-inc/MCX-J-P-H-ST-TH1/2685236" TargetMode="External"/><Relationship Id="rId12" Type="http://schemas.openxmlformats.org/officeDocument/2006/relationships/hyperlink" Target="https://www.digikey.com/en/products/detail/tdk-corporation/C4532X5R1E106K250KA/1923414" TargetMode="External"/><Relationship Id="rId17" Type="http://schemas.openxmlformats.org/officeDocument/2006/relationships/hyperlink" Target="https://www.digikey.com/en/products/detail/molex/0732305341/15291705" TargetMode="External"/><Relationship Id="rId25" Type="http://schemas.openxmlformats.org/officeDocument/2006/relationships/hyperlink" Target="https://www.digikey.com/en/products/detail/lemo/ABF-00-250-NTA/3597367" TargetMode="External"/><Relationship Id="rId2" Type="http://schemas.openxmlformats.org/officeDocument/2006/relationships/hyperlink" Target="https://www.digikey.com/en/products/detail/assmann-wsw-components/A-08-LC-TT/821740" TargetMode="External"/><Relationship Id="rId16" Type="http://schemas.openxmlformats.org/officeDocument/2006/relationships/hyperlink" Target="https://www.digikey.com/en/products/detail/jst-sales-america-inc/ASPHSPH24K203/9918855" TargetMode="External"/><Relationship Id="rId20" Type="http://schemas.openxmlformats.org/officeDocument/2006/relationships/hyperlink" Target="https://www.digikey.com/en/products/detail/samtec-inc/MCX-J-P-H-RA-TH1/1832454?gclsrc=aw.ds&amp;gad_source=1&amp;gad_campaignid=17336967819&amp;gbraid=0AAAAADrbLlho8Dd-MWZdZ0R2JPfI0fRH-&amp;gclid=Cj0KCQjws83OBhD4ARIsACblj190il6j28v9UY0dAVtfIQtXWvnc2AVcP5nykMyLiV9a2Z74In5zGDoaArt3EALw_wcB" TargetMode="External"/><Relationship Id="rId1" Type="http://schemas.openxmlformats.org/officeDocument/2006/relationships/hyperlink" Target="https://www.digikey.com/en/products/detail/lemo/EPB-00-250-NTN/3597321" TargetMode="External"/><Relationship Id="rId6" Type="http://schemas.openxmlformats.org/officeDocument/2006/relationships/hyperlink" Target="https://www.digikey.com/en/products/detail/texas-instruments/LM358N-NOPB/6264?gad_source=1&amp;gad_campaignid=20228387720&amp;gbraid=0AAAAADrbLlhH2LFZqvH5DS2z7ohiCqdI0&amp;gclid=Cj0KCQjwjJrCBhCXARIsAI5x66U4hkISbsSK1YK88To2wUerjDpCmWgjfttAAqR2OzgQiLRj1oCu0QYaAqX9EALw_wcB&amp;gclsrc=aw.ds" TargetMode="External"/><Relationship Id="rId11" Type="http://schemas.openxmlformats.org/officeDocument/2006/relationships/hyperlink" Target="https://www.digikey.com/en/products/detail/vishay-vitramon/VJ0603Y102JXAAC/8305189" TargetMode="External"/><Relationship Id="rId24" Type="http://schemas.openxmlformats.org/officeDocument/2006/relationships/hyperlink" Target="https://store-usa.arduino.cc/products/arduino-uno-rev3?utm_source=google&amp;utm_medium=cpc&amp;utm_campaign=US-Pmax&amp;gad_source=1&amp;gad_campaignid=21317508903&amp;gbraid=0AAAAACbEa84Tbj_a0H44vHpis86eaV8Pv&amp;gclid=Cj0KCQjwof_QBhCgARIsADaMzOdNDkvkWkXNT5olmVEk4sYA5OhcJjtMDrS0YDRrdo2Fa2A1SMGev08aAkfPEALw_wcB" TargetMode="External"/><Relationship Id="rId5" Type="http://schemas.openxmlformats.org/officeDocument/2006/relationships/hyperlink" Target="https://www.minicircuits.com/WebStore/dashboard.html?model=SCP-4-1W%2B" TargetMode="External"/><Relationship Id="rId15" Type="http://schemas.openxmlformats.org/officeDocument/2006/relationships/hyperlink" Target="https://www.digikey.com/en/products/detail/vishay-dale/CRCW2010100RFKEF/1173959" TargetMode="External"/><Relationship Id="rId23" Type="http://schemas.openxmlformats.org/officeDocument/2006/relationships/hyperlink" Target="https://www.digikey.com/en/products/detail/jst-sales-america-inc/PHR-6/608604" TargetMode="External"/><Relationship Id="rId10" Type="http://schemas.openxmlformats.org/officeDocument/2006/relationships/hyperlink" Target="https://www.digikey.com/en/products/detail/vishay-dale/CRCW201015K0FKEF/1198590" TargetMode="External"/><Relationship Id="rId19" Type="http://schemas.openxmlformats.org/officeDocument/2006/relationships/hyperlink" Target="https://www.digikey.com/en/products/detail/lemo/ABF-00-250-NTA/3597367?_gl=1*10fobnu*_up*MQ..*_gs*MQ..&amp;gclid=Cj0KCQjwjJrCBhCXARIsAI5x66XitjM0gGOoE3YyfciIJcqr-rGgBhqkJ-cPWz31ksPBoKymYSUtMxsaAu2HEALw_wcB&amp;gclsrc=aw.ds&amp;gbraid=0AAAAADrbLljsbssiYFWvFn5jGghqVqdBV" TargetMode="External"/><Relationship Id="rId4" Type="http://schemas.openxmlformats.org/officeDocument/2006/relationships/hyperlink" Target="https://www.minicircuits.com/WebStore/dashboard.html?model=DAT-31R5A-PP%2B" TargetMode="External"/><Relationship Id="rId9" Type="http://schemas.openxmlformats.org/officeDocument/2006/relationships/hyperlink" Target="https://www.digikey.com/en/products/detail/analog-devices-inc/LT1963AEQ-PBF/807749?gad_source=1&amp;gad_campaignid=17922795960&amp;gbraid=0AAAAADrbLljsbssiYFWvFn5jGghqVqdBV&amp;gclid=Cj0KCQjwjJrCBhCXARIsAI5x66XitjM0gGOoE3YyfciIJcqr-rGgBhqkJ-cPWz31ksPBoKymYSUtMxsaAu2HEALw_wcB&amp;gclsrc=aw.ds" TargetMode="External"/><Relationship Id="rId14" Type="http://schemas.openxmlformats.org/officeDocument/2006/relationships/hyperlink" Target="https://www.digikey.com/en/products/detail/vishay-general-semiconductor-diodes-division/VTVS3V3ASMF-M3-08/10260188" TargetMode="External"/><Relationship Id="rId22" Type="http://schemas.openxmlformats.org/officeDocument/2006/relationships/hyperlink" Target="https://www.digikey.com/en/products/detail/jst-sales-america-inc/B6B-PH-K-S/926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CC54-E61E-4630-8CD4-9D5728C0442A}">
  <dimension ref="A1:G23"/>
  <sheetViews>
    <sheetView workbookViewId="0">
      <selection activeCell="D5" sqref="D5"/>
    </sheetView>
  </sheetViews>
  <sheetFormatPr defaultRowHeight="15"/>
  <cols>
    <col min="1" max="1" width="22.85546875" bestFit="1" customWidth="1"/>
    <col min="2" max="2" width="30.5703125" bestFit="1" customWidth="1"/>
    <col min="3" max="3" width="12.28515625" bestFit="1" customWidth="1"/>
    <col min="4" max="4" width="9.42578125" bestFit="1" customWidth="1"/>
    <col min="5" max="6" width="10.28515625" style="1" bestFit="1" customWidth="1"/>
    <col min="7" max="7" width="25.28515625" customWidth="1"/>
  </cols>
  <sheetData>
    <row r="1" spans="1:7" s="3" customFormat="1">
      <c r="A1" s="3" t="s">
        <v>0</v>
      </c>
      <c r="B1" s="3" t="s">
        <v>5</v>
      </c>
      <c r="C1" s="3" t="s">
        <v>1</v>
      </c>
      <c r="D1" s="3" t="s">
        <v>2</v>
      </c>
      <c r="E1" s="4" t="s">
        <v>3</v>
      </c>
      <c r="F1" s="4" t="s">
        <v>8</v>
      </c>
      <c r="G1" s="3" t="s">
        <v>4</v>
      </c>
    </row>
    <row r="2" spans="1:7">
      <c r="A2" t="s">
        <v>6</v>
      </c>
      <c r="B2" t="s">
        <v>7</v>
      </c>
      <c r="C2" t="s">
        <v>9</v>
      </c>
      <c r="D2">
        <v>6</v>
      </c>
      <c r="E2" s="1">
        <v>6.11</v>
      </c>
      <c r="F2" s="1">
        <f>D2*E2</f>
        <v>36.660000000000004</v>
      </c>
      <c r="G2" t="s">
        <v>10</v>
      </c>
    </row>
    <row r="3" spans="1:7">
      <c r="A3" s="2" t="s">
        <v>11</v>
      </c>
      <c r="B3" t="s">
        <v>12</v>
      </c>
      <c r="C3" t="s">
        <v>9</v>
      </c>
      <c r="D3">
        <v>6</v>
      </c>
      <c r="E3" s="1">
        <v>44.21</v>
      </c>
      <c r="F3" s="1">
        <f t="shared" ref="F3:F15" si="0">D3*E3</f>
        <v>265.26</v>
      </c>
      <c r="G3" t="s">
        <v>15</v>
      </c>
    </row>
    <row r="4" spans="1:7">
      <c r="A4" s="2" t="s">
        <v>13</v>
      </c>
      <c r="B4" t="s">
        <v>14</v>
      </c>
      <c r="C4" t="s">
        <v>9</v>
      </c>
      <c r="D4">
        <v>4</v>
      </c>
      <c r="E4" s="1">
        <v>34.090000000000003</v>
      </c>
      <c r="F4" s="1">
        <f t="shared" si="0"/>
        <v>136.36000000000001</v>
      </c>
      <c r="G4" t="s">
        <v>16</v>
      </c>
    </row>
    <row r="5" spans="1:7">
      <c r="A5" t="s">
        <v>20</v>
      </c>
      <c r="B5" t="s">
        <v>21</v>
      </c>
      <c r="C5" t="s">
        <v>19</v>
      </c>
      <c r="D5">
        <v>10</v>
      </c>
      <c r="E5" s="1">
        <v>0.55000000000000004</v>
      </c>
      <c r="F5" s="1">
        <f t="shared" si="0"/>
        <v>5.5</v>
      </c>
      <c r="G5" t="s">
        <v>23</v>
      </c>
    </row>
    <row r="6" spans="1:7">
      <c r="A6" t="s">
        <v>24</v>
      </c>
      <c r="B6" t="s">
        <v>26</v>
      </c>
      <c r="C6" t="s">
        <v>19</v>
      </c>
      <c r="D6">
        <v>10</v>
      </c>
      <c r="E6" s="1">
        <v>0.13400000000000001</v>
      </c>
      <c r="F6" s="1">
        <f t="shared" si="0"/>
        <v>1.34</v>
      </c>
      <c r="G6" t="s">
        <v>25</v>
      </c>
    </row>
    <row r="7" spans="1:7">
      <c r="A7" t="s">
        <v>28</v>
      </c>
      <c r="B7" t="s">
        <v>29</v>
      </c>
      <c r="C7" t="s">
        <v>19</v>
      </c>
      <c r="D7">
        <v>4</v>
      </c>
      <c r="E7" s="1">
        <v>21.97</v>
      </c>
      <c r="F7" s="1">
        <f t="shared" si="0"/>
        <v>87.88</v>
      </c>
      <c r="G7" s="5" t="s">
        <v>27</v>
      </c>
    </row>
    <row r="8" spans="1:7">
      <c r="A8" t="s">
        <v>17</v>
      </c>
      <c r="B8" t="s">
        <v>18</v>
      </c>
      <c r="C8" t="s">
        <v>19</v>
      </c>
      <c r="D8">
        <v>30</v>
      </c>
      <c r="E8" s="1">
        <v>2.8151999999999999</v>
      </c>
      <c r="F8" s="1">
        <f>D8*E8</f>
        <v>84.456000000000003</v>
      </c>
      <c r="G8" t="s">
        <v>22</v>
      </c>
    </row>
    <row r="9" spans="1:7">
      <c r="A9" t="s">
        <v>30</v>
      </c>
      <c r="B9" t="s">
        <v>31</v>
      </c>
      <c r="C9" t="s">
        <v>19</v>
      </c>
      <c r="D9">
        <v>4</v>
      </c>
      <c r="E9" s="1">
        <v>8.7899999999999991</v>
      </c>
      <c r="F9" s="1">
        <f t="shared" si="0"/>
        <v>35.159999999999997</v>
      </c>
      <c r="G9" t="s">
        <v>35</v>
      </c>
    </row>
    <row r="10" spans="1:7">
      <c r="A10" t="s">
        <v>33</v>
      </c>
      <c r="B10" t="s">
        <v>32</v>
      </c>
      <c r="C10" t="s">
        <v>19</v>
      </c>
      <c r="D10">
        <v>50</v>
      </c>
      <c r="E10" s="1">
        <v>0.11700000000000001</v>
      </c>
      <c r="F10" s="1">
        <f>D10*E10</f>
        <v>5.8500000000000005</v>
      </c>
      <c r="G10" t="s">
        <v>34</v>
      </c>
    </row>
    <row r="11" spans="1:7">
      <c r="A11" t="s">
        <v>36</v>
      </c>
      <c r="B11" t="s">
        <v>37</v>
      </c>
      <c r="C11" t="s">
        <v>19</v>
      </c>
      <c r="D11">
        <v>50</v>
      </c>
      <c r="E11" s="1">
        <v>0.11700000000000001</v>
      </c>
      <c r="F11" s="1">
        <f>D11*E11</f>
        <v>5.8500000000000005</v>
      </c>
      <c r="G11" t="s">
        <v>38</v>
      </c>
    </row>
    <row r="12" spans="1:7">
      <c r="A12" t="s">
        <v>39</v>
      </c>
      <c r="B12" t="s">
        <v>40</v>
      </c>
      <c r="C12" t="s">
        <v>19</v>
      </c>
      <c r="D12">
        <v>50</v>
      </c>
      <c r="E12" s="1">
        <v>0.21099999999999999</v>
      </c>
      <c r="F12" s="1">
        <f t="shared" si="0"/>
        <v>10.549999999999999</v>
      </c>
      <c r="G12" t="s">
        <v>42</v>
      </c>
    </row>
    <row r="14" spans="1:7">
      <c r="A14" t="s">
        <v>43</v>
      </c>
      <c r="B14" t="s">
        <v>44</v>
      </c>
      <c r="C14" t="s">
        <v>19</v>
      </c>
      <c r="D14">
        <v>1</v>
      </c>
      <c r="E14" s="1">
        <v>9.9499999999999993</v>
      </c>
      <c r="F14" s="1">
        <f t="shared" si="0"/>
        <v>9.9499999999999993</v>
      </c>
      <c r="G14" t="s">
        <v>45</v>
      </c>
    </row>
    <row r="15" spans="1:7">
      <c r="A15" t="s">
        <v>46</v>
      </c>
      <c r="B15" t="s">
        <v>48</v>
      </c>
      <c r="C15" t="s">
        <v>19</v>
      </c>
      <c r="D15">
        <v>1</v>
      </c>
      <c r="E15" s="1">
        <v>34.67</v>
      </c>
      <c r="F15" s="1">
        <f t="shared" si="0"/>
        <v>34.67</v>
      </c>
      <c r="G15" t="s">
        <v>47</v>
      </c>
    </row>
    <row r="23" spans="5:6">
      <c r="E23" s="4" t="s">
        <v>41</v>
      </c>
      <c r="F23" s="4">
        <f>SUM(F2:F21)</f>
        <v>719.48599999999999</v>
      </c>
    </row>
  </sheetData>
  <hyperlinks>
    <hyperlink ref="G7" r:id="rId1" xr:uid="{78BD4E0E-1BD4-4C07-BC6D-C1ABAF52F5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B855-274F-4C59-A690-1B91D9B8D025}">
  <dimension ref="A1:G38"/>
  <sheetViews>
    <sheetView tabSelected="1" zoomScale="98" zoomScaleNormal="98" workbookViewId="0">
      <selection activeCell="G33" sqref="G33"/>
    </sheetView>
  </sheetViews>
  <sheetFormatPr defaultColWidth="8.7109375" defaultRowHeight="15"/>
  <cols>
    <col min="1" max="1" width="22.85546875" bestFit="1" customWidth="1"/>
    <col min="2" max="2" width="36.42578125" bestFit="1" customWidth="1"/>
    <col min="3" max="3" width="12.28515625" bestFit="1" customWidth="1"/>
    <col min="4" max="4" width="12.28515625" customWidth="1"/>
    <col min="5" max="6" width="10.28515625" style="1" bestFit="1" customWidth="1"/>
    <col min="7" max="7" width="35" style="11" customWidth="1"/>
  </cols>
  <sheetData>
    <row r="1" spans="1:7" s="3" customFormat="1">
      <c r="A1" s="3" t="s">
        <v>0</v>
      </c>
      <c r="B1" s="3" t="s">
        <v>5</v>
      </c>
      <c r="C1" s="3" t="s">
        <v>1</v>
      </c>
      <c r="D1" s="3" t="s">
        <v>49</v>
      </c>
      <c r="E1" s="4" t="s">
        <v>3</v>
      </c>
      <c r="F1" s="4" t="s">
        <v>69</v>
      </c>
      <c r="G1" s="9" t="s">
        <v>4</v>
      </c>
    </row>
    <row r="2" spans="1:7" s="7" customFormat="1">
      <c r="A2" s="7" t="s">
        <v>87</v>
      </c>
      <c r="B2" s="7" t="s">
        <v>88</v>
      </c>
      <c r="C2" s="7" t="s">
        <v>89</v>
      </c>
      <c r="D2" s="7">
        <v>1</v>
      </c>
      <c r="E2" s="8">
        <v>27.6</v>
      </c>
      <c r="F2" s="1">
        <f>D2*E2</f>
        <v>27.6</v>
      </c>
      <c r="G2" s="10" t="s">
        <v>90</v>
      </c>
    </row>
    <row r="3" spans="1:7">
      <c r="A3" t="s">
        <v>6</v>
      </c>
      <c r="B3" t="s">
        <v>7</v>
      </c>
      <c r="C3" t="s">
        <v>9</v>
      </c>
      <c r="D3">
        <v>16</v>
      </c>
      <c r="E3" s="1">
        <v>6.35</v>
      </c>
      <c r="F3" s="1">
        <f>D3*E3</f>
        <v>101.6</v>
      </c>
      <c r="G3" s="10" t="s">
        <v>10</v>
      </c>
    </row>
    <row r="4" spans="1:7">
      <c r="A4" s="6" t="s">
        <v>11</v>
      </c>
      <c r="B4" t="s">
        <v>12</v>
      </c>
      <c r="C4" t="s">
        <v>9</v>
      </c>
      <c r="D4">
        <v>16</v>
      </c>
      <c r="E4" s="1">
        <v>44.21</v>
      </c>
      <c r="F4" s="1">
        <f t="shared" ref="F4:F32" si="0">D4*E4</f>
        <v>707.36</v>
      </c>
      <c r="G4" s="10" t="s">
        <v>15</v>
      </c>
    </row>
    <row r="5" spans="1:7">
      <c r="A5" s="6" t="s">
        <v>13</v>
      </c>
      <c r="B5" t="s">
        <v>91</v>
      </c>
      <c r="C5" t="s">
        <v>9</v>
      </c>
      <c r="D5">
        <v>8</v>
      </c>
      <c r="E5" s="1">
        <v>34.090000000000003</v>
      </c>
      <c r="F5" s="1">
        <f t="shared" si="0"/>
        <v>272.72000000000003</v>
      </c>
      <c r="G5" s="10" t="s">
        <v>16</v>
      </c>
    </row>
    <row r="6" spans="1:7">
      <c r="A6" s="6" t="s">
        <v>97</v>
      </c>
      <c r="B6" t="s">
        <v>93</v>
      </c>
      <c r="C6" t="s">
        <v>92</v>
      </c>
      <c r="D6">
        <v>1</v>
      </c>
      <c r="E6" s="1">
        <v>5.95</v>
      </c>
      <c r="F6" s="1">
        <f t="shared" si="0"/>
        <v>5.95</v>
      </c>
      <c r="G6" s="10" t="s">
        <v>98</v>
      </c>
    </row>
    <row r="7" spans="1:7">
      <c r="A7" s="6" t="s">
        <v>96</v>
      </c>
      <c r="B7" t="s">
        <v>94</v>
      </c>
      <c r="C7" t="s">
        <v>92</v>
      </c>
      <c r="D7">
        <v>2</v>
      </c>
      <c r="E7" s="1">
        <v>24.95</v>
      </c>
      <c r="F7" s="1">
        <f t="shared" si="0"/>
        <v>49.9</v>
      </c>
      <c r="G7" s="10" t="s">
        <v>95</v>
      </c>
    </row>
    <row r="8" spans="1:7">
      <c r="A8" t="s">
        <v>20</v>
      </c>
      <c r="B8" t="s">
        <v>21</v>
      </c>
      <c r="C8" t="s">
        <v>19</v>
      </c>
      <c r="D8">
        <v>8</v>
      </c>
      <c r="E8" s="1">
        <v>0.55000000000000004</v>
      </c>
      <c r="F8" s="1">
        <f t="shared" si="0"/>
        <v>4.4000000000000004</v>
      </c>
      <c r="G8" s="10" t="s">
        <v>23</v>
      </c>
    </row>
    <row r="9" spans="1:7">
      <c r="A9" t="s">
        <v>24</v>
      </c>
      <c r="B9" t="s">
        <v>26</v>
      </c>
      <c r="C9" t="s">
        <v>19</v>
      </c>
      <c r="D9">
        <v>8</v>
      </c>
      <c r="E9" s="1">
        <v>0.13400000000000001</v>
      </c>
      <c r="F9" s="1">
        <f t="shared" si="0"/>
        <v>1.0720000000000001</v>
      </c>
      <c r="G9" s="10" t="s">
        <v>25</v>
      </c>
    </row>
    <row r="10" spans="1:7">
      <c r="A10" t="s">
        <v>28</v>
      </c>
      <c r="B10" t="s">
        <v>29</v>
      </c>
      <c r="C10" t="s">
        <v>19</v>
      </c>
      <c r="D10">
        <v>4</v>
      </c>
      <c r="E10" s="1">
        <v>21.97</v>
      </c>
      <c r="F10" s="1">
        <f t="shared" si="0"/>
        <v>87.88</v>
      </c>
      <c r="G10" s="10" t="s">
        <v>27</v>
      </c>
    </row>
    <row r="11" spans="1:7">
      <c r="A11" t="s">
        <v>17</v>
      </c>
      <c r="B11" t="s">
        <v>18</v>
      </c>
      <c r="C11" t="s">
        <v>19</v>
      </c>
      <c r="D11">
        <v>81</v>
      </c>
      <c r="E11" s="1">
        <v>2.8151999999999999</v>
      </c>
      <c r="F11" s="1">
        <f t="shared" si="0"/>
        <v>228.03119999999998</v>
      </c>
      <c r="G11" s="10" t="s">
        <v>22</v>
      </c>
    </row>
    <row r="12" spans="1:7">
      <c r="A12" t="s">
        <v>85</v>
      </c>
      <c r="B12" t="s">
        <v>65</v>
      </c>
      <c r="C12" t="s">
        <v>19</v>
      </c>
      <c r="D12">
        <v>20</v>
      </c>
      <c r="E12" s="1">
        <v>6.95</v>
      </c>
      <c r="F12" s="1">
        <f t="shared" si="0"/>
        <v>139</v>
      </c>
      <c r="G12" s="10" t="s">
        <v>86</v>
      </c>
    </row>
    <row r="13" spans="1:7">
      <c r="A13" t="s">
        <v>30</v>
      </c>
      <c r="B13" t="s">
        <v>31</v>
      </c>
      <c r="C13" t="s">
        <v>19</v>
      </c>
      <c r="D13">
        <v>3</v>
      </c>
      <c r="E13" s="1">
        <v>8.7899999999999991</v>
      </c>
      <c r="F13" s="1">
        <f t="shared" si="0"/>
        <v>26.369999999999997</v>
      </c>
      <c r="G13" s="10" t="s">
        <v>35</v>
      </c>
    </row>
    <row r="14" spans="1:7">
      <c r="A14" t="s">
        <v>33</v>
      </c>
      <c r="B14" t="s">
        <v>32</v>
      </c>
      <c r="C14" t="s">
        <v>19</v>
      </c>
      <c r="D14">
        <v>16</v>
      </c>
      <c r="E14" s="1">
        <v>0.11700000000000001</v>
      </c>
      <c r="F14" s="1">
        <f t="shared" si="0"/>
        <v>1.8720000000000001</v>
      </c>
      <c r="G14" s="10" t="s">
        <v>34</v>
      </c>
    </row>
    <row r="15" spans="1:7">
      <c r="A15" t="s">
        <v>36</v>
      </c>
      <c r="B15" t="s">
        <v>37</v>
      </c>
      <c r="C15" t="s">
        <v>19</v>
      </c>
      <c r="D15">
        <v>16</v>
      </c>
      <c r="E15" s="1">
        <v>0.11700000000000001</v>
      </c>
      <c r="F15" s="1">
        <f>D15*E15</f>
        <v>1.8720000000000001</v>
      </c>
      <c r="G15" s="10" t="s">
        <v>38</v>
      </c>
    </row>
    <row r="16" spans="1:7">
      <c r="A16" t="s">
        <v>82</v>
      </c>
      <c r="B16" t="s">
        <v>83</v>
      </c>
      <c r="C16" t="s">
        <v>19</v>
      </c>
      <c r="D16">
        <v>16</v>
      </c>
      <c r="E16" s="1">
        <v>0.23</v>
      </c>
      <c r="F16" s="1">
        <f t="shared" ref="F16:F19" si="1">D16*E16</f>
        <v>3.68</v>
      </c>
      <c r="G16" s="10" t="s">
        <v>84</v>
      </c>
    </row>
    <row r="17" spans="1:7">
      <c r="A17" t="s">
        <v>102</v>
      </c>
      <c r="B17" t="s">
        <v>103</v>
      </c>
      <c r="C17" t="s">
        <v>19</v>
      </c>
      <c r="D17">
        <v>1</v>
      </c>
      <c r="E17" s="1">
        <v>0.24</v>
      </c>
      <c r="F17" s="1">
        <f t="shared" si="1"/>
        <v>0.24</v>
      </c>
      <c r="G17" s="10" t="s">
        <v>104</v>
      </c>
    </row>
    <row r="18" spans="1:7">
      <c r="A18" t="s">
        <v>106</v>
      </c>
      <c r="B18" t="s">
        <v>107</v>
      </c>
      <c r="C18" t="s">
        <v>19</v>
      </c>
      <c r="D18">
        <v>1</v>
      </c>
      <c r="E18" s="1">
        <v>0.24</v>
      </c>
      <c r="F18" s="1">
        <f t="shared" si="1"/>
        <v>0.24</v>
      </c>
      <c r="G18" s="10" t="s">
        <v>105</v>
      </c>
    </row>
    <row r="19" spans="1:7">
      <c r="A19" t="s">
        <v>109</v>
      </c>
      <c r="B19" t="s">
        <v>108</v>
      </c>
      <c r="C19" t="s">
        <v>19</v>
      </c>
      <c r="D19">
        <v>1</v>
      </c>
      <c r="E19" s="1">
        <v>0.04</v>
      </c>
      <c r="F19" s="1">
        <f t="shared" si="1"/>
        <v>0.04</v>
      </c>
      <c r="G19" s="10" t="s">
        <v>110</v>
      </c>
    </row>
    <row r="20" spans="1:7">
      <c r="A20" t="s">
        <v>39</v>
      </c>
      <c r="B20" t="s">
        <v>40</v>
      </c>
      <c r="C20" t="s">
        <v>19</v>
      </c>
      <c r="D20">
        <v>8</v>
      </c>
      <c r="E20" s="1">
        <v>0.21099999999999999</v>
      </c>
      <c r="F20" s="1">
        <f t="shared" si="0"/>
        <v>1.6879999999999999</v>
      </c>
      <c r="G20" s="10" t="s">
        <v>42</v>
      </c>
    </row>
    <row r="21" spans="1:7">
      <c r="A21" t="s">
        <v>51</v>
      </c>
      <c r="B21" t="s">
        <v>52</v>
      </c>
      <c r="C21" t="s">
        <v>19</v>
      </c>
      <c r="D21">
        <v>6</v>
      </c>
      <c r="E21" s="1">
        <v>1.1200000000000001</v>
      </c>
      <c r="F21" s="1">
        <f t="shared" si="0"/>
        <v>6.7200000000000006</v>
      </c>
      <c r="G21" s="10" t="s">
        <v>50</v>
      </c>
    </row>
    <row r="22" spans="1:7">
      <c r="A22" t="s">
        <v>66</v>
      </c>
      <c r="B22" t="s">
        <v>67</v>
      </c>
      <c r="C22" t="s">
        <v>19</v>
      </c>
      <c r="D22">
        <v>16</v>
      </c>
      <c r="E22" s="1">
        <v>0.39</v>
      </c>
      <c r="F22" s="1">
        <f t="shared" si="0"/>
        <v>6.24</v>
      </c>
      <c r="G22" s="10" t="s">
        <v>68</v>
      </c>
    </row>
    <row r="23" spans="1:7">
      <c r="A23" t="s">
        <v>54</v>
      </c>
      <c r="B23" t="s">
        <v>55</v>
      </c>
      <c r="C23" t="s">
        <v>19</v>
      </c>
      <c r="D23">
        <v>9</v>
      </c>
      <c r="E23" s="1">
        <v>0.35</v>
      </c>
      <c r="F23" s="1">
        <f t="shared" si="0"/>
        <v>3.15</v>
      </c>
      <c r="G23" s="10" t="s">
        <v>53</v>
      </c>
    </row>
    <row r="24" spans="1:7">
      <c r="A24" t="s">
        <v>64</v>
      </c>
      <c r="B24" t="s">
        <v>63</v>
      </c>
      <c r="C24" t="s">
        <v>19</v>
      </c>
      <c r="D24">
        <v>9</v>
      </c>
      <c r="E24" s="1">
        <v>0.11</v>
      </c>
      <c r="F24" s="1">
        <f t="shared" si="0"/>
        <v>0.99</v>
      </c>
      <c r="G24" s="10" t="s">
        <v>62</v>
      </c>
    </row>
    <row r="25" spans="1:7">
      <c r="A25" t="s">
        <v>57</v>
      </c>
      <c r="B25" t="s">
        <v>58</v>
      </c>
      <c r="C25" t="s">
        <v>19</v>
      </c>
      <c r="D25">
        <v>16</v>
      </c>
      <c r="E25" s="1">
        <v>0.27</v>
      </c>
      <c r="F25" s="1">
        <f t="shared" si="0"/>
        <v>4.32</v>
      </c>
      <c r="G25" s="10" t="s">
        <v>56</v>
      </c>
    </row>
    <row r="26" spans="1:7">
      <c r="A26" t="s">
        <v>60</v>
      </c>
      <c r="B26" t="s">
        <v>61</v>
      </c>
      <c r="C26" t="s">
        <v>19</v>
      </c>
      <c r="D26">
        <v>16</v>
      </c>
      <c r="E26" s="1">
        <v>0.1</v>
      </c>
      <c r="F26" s="1">
        <f t="shared" si="0"/>
        <v>1.6</v>
      </c>
      <c r="G26" s="10" t="s">
        <v>59</v>
      </c>
    </row>
    <row r="27" spans="1:7">
      <c r="A27" t="s">
        <v>99</v>
      </c>
      <c r="B27" t="s">
        <v>101</v>
      </c>
      <c r="C27" t="s">
        <v>19</v>
      </c>
      <c r="D27">
        <v>3</v>
      </c>
      <c r="E27" s="1">
        <v>8.44</v>
      </c>
      <c r="F27" s="1">
        <f t="shared" si="0"/>
        <v>25.32</v>
      </c>
      <c r="G27" s="10" t="s">
        <v>100</v>
      </c>
    </row>
    <row r="28" spans="1:7">
      <c r="A28" t="s">
        <v>70</v>
      </c>
      <c r="B28" t="s">
        <v>71</v>
      </c>
      <c r="C28" t="s">
        <v>19</v>
      </c>
      <c r="D28">
        <v>40</v>
      </c>
      <c r="E28" s="1">
        <v>0.41</v>
      </c>
      <c r="F28" s="1">
        <f t="shared" si="0"/>
        <v>16.399999999999999</v>
      </c>
      <c r="G28" s="10" t="s">
        <v>72</v>
      </c>
    </row>
    <row r="29" spans="1:7">
      <c r="A29" t="s">
        <v>73</v>
      </c>
      <c r="B29" t="s">
        <v>74</v>
      </c>
      <c r="C29" t="s">
        <v>19</v>
      </c>
      <c r="D29">
        <v>16</v>
      </c>
      <c r="E29" s="1">
        <v>10.72</v>
      </c>
      <c r="F29" s="1">
        <f t="shared" si="0"/>
        <v>171.52</v>
      </c>
      <c r="G29" s="10" t="s">
        <v>75</v>
      </c>
    </row>
    <row r="30" spans="1:7">
      <c r="A30" t="s">
        <v>76</v>
      </c>
      <c r="B30" t="s">
        <v>77</v>
      </c>
      <c r="C30" t="s">
        <v>19</v>
      </c>
      <c r="D30">
        <f>8*4</f>
        <v>32</v>
      </c>
      <c r="E30" s="1">
        <v>9.7100000000000009</v>
      </c>
      <c r="F30" s="1">
        <f t="shared" si="0"/>
        <v>310.72000000000003</v>
      </c>
      <c r="G30" s="10" t="s">
        <v>78</v>
      </c>
    </row>
    <row r="31" spans="1:7">
      <c r="A31" t="s">
        <v>80</v>
      </c>
      <c r="B31" t="s">
        <v>81</v>
      </c>
      <c r="C31" t="s">
        <v>19</v>
      </c>
      <c r="D31">
        <v>4</v>
      </c>
      <c r="E31" s="1">
        <v>29.03</v>
      </c>
      <c r="F31" s="1">
        <f t="shared" si="0"/>
        <v>116.12</v>
      </c>
      <c r="G31" s="10" t="s">
        <v>79</v>
      </c>
    </row>
    <row r="32" spans="1:7">
      <c r="A32" t="s">
        <v>112</v>
      </c>
      <c r="B32" t="s">
        <v>81</v>
      </c>
      <c r="C32" t="s">
        <v>19</v>
      </c>
      <c r="D32">
        <v>4</v>
      </c>
      <c r="E32" s="1">
        <v>30.22</v>
      </c>
      <c r="F32" s="1">
        <f t="shared" si="0"/>
        <v>120.88</v>
      </c>
      <c r="G32" s="10" t="s">
        <v>111</v>
      </c>
    </row>
    <row r="38" spans="5:6">
      <c r="E38" s="4" t="s">
        <v>41</v>
      </c>
      <c r="F38" s="4">
        <f>SUM(F3:F36)</f>
        <v>2417.8951999999999</v>
      </c>
    </row>
  </sheetData>
  <hyperlinks>
    <hyperlink ref="G10" r:id="rId1" xr:uid="{1605FDF9-3258-4EDE-8386-AE161C2E9EEC}"/>
    <hyperlink ref="G9" r:id="rId2" xr:uid="{3B510C0E-5399-4047-91D0-A89890FA6AA0}"/>
    <hyperlink ref="G4" r:id="rId3" xr:uid="{815DC66B-1493-4C53-B406-25B799F99278}"/>
    <hyperlink ref="G3" r:id="rId4" xr:uid="{00C37A61-1FC5-4BEC-A130-DF67CC25DC64}"/>
    <hyperlink ref="G5" r:id="rId5" xr:uid="{38DF0656-5DDE-457D-8EA5-1925E6435986}"/>
    <hyperlink ref="G8" r:id="rId6" display="https://www.digikey.com/en/products/detail/texas-instruments/LM358N-NOPB/6264?gad_source=1&amp;gad_campaignid=20228387720&amp;gbraid=0AAAAADrbLlhH2LFZqvH5DS2z7ohiCqdI0&amp;gclid=Cj0KCQjwjJrCBhCXARIsAI5x66U4hkISbsSK1YK88To2wUerjDpCmWgjfttAAqR2OzgQiLRj1oCu0QYaAqX9EALw_wcB&amp;gclsrc=aw.ds" xr:uid="{A24BBB8D-DB44-4B1A-95CD-1F17CB0ECCE1}"/>
    <hyperlink ref="G11" r:id="rId7" xr:uid="{3B1534F2-A711-4D7F-9433-1738A440FD3F}"/>
    <hyperlink ref="G14" r:id="rId8" xr:uid="{0FB87C50-A08C-4A91-975B-17B8570C146D}"/>
    <hyperlink ref="G13" r:id="rId9" display="https://www.digikey.com/en/products/detail/analog-devices-inc/LT1963AEQ-PBF/807749?gad_source=1&amp;gad_campaignid=17922795960&amp;gbraid=0AAAAADrbLljsbssiYFWvFn5jGghqVqdBV&amp;gclid=Cj0KCQjwjJrCBhCXARIsAI5x66XitjM0gGOoE3YyfciIJcqr-rGgBhqkJ-cPWz31ksPBoKymYSUtMxsaAu2HEALw_wcB&amp;gclsrc=aw.ds" xr:uid="{604BB8DF-8A01-442B-974A-43383BAF9966}"/>
    <hyperlink ref="G15" r:id="rId10" xr:uid="{E0D85383-7366-45D2-ACDF-0854C3FD686D}"/>
    <hyperlink ref="G20" r:id="rId11" xr:uid="{6262A082-8243-498D-871F-6724901FEE14}"/>
    <hyperlink ref="G21" r:id="rId12" xr:uid="{279DD5BF-90BD-43BF-91E9-B1A7D14A430E}"/>
    <hyperlink ref="G23" r:id="rId13" display="https://www.digikey.com/en/products/detail/jst-sales-america-inc/B8B-PH-K-S/926617?_gl=1*n0ybr9*_up*MQ..*_gs*MQ..&amp;gclid=Cj0KCQjw37nNBhDkARIsAEBGI8P2qSLNw3bCh5gg9r7G7ZZZjUv-s6CwdrzPc-XVeIKtRt-kr57B29gaAqgpEALw_wcB&amp;gclsrc=aw.ds&amp;gbraid=0AAAAADrbLljjxZwlpBSKDLTjGW_Nytu5Q" xr:uid="{B33C85E8-A01A-465C-B2DB-6BA03A29C108}"/>
    <hyperlink ref="G22" r:id="rId14" xr:uid="{F1339B5F-84AC-4F9C-B90C-AFBC8734DB15}"/>
    <hyperlink ref="G16" r:id="rId15" xr:uid="{71E5337A-111B-4256-85DB-4DBC51610451}"/>
    <hyperlink ref="G28" r:id="rId16" xr:uid="{037562A5-1823-41DF-9346-3C5F8F66216E}"/>
    <hyperlink ref="G29" r:id="rId17" xr:uid="{17A6F8A2-A0D0-4E40-A0DE-094D95F48A27}"/>
    <hyperlink ref="G30" r:id="rId18" xr:uid="{97EFE358-8AAA-4348-987A-06FFE5B7308A}"/>
    <hyperlink ref="G31" r:id="rId19" display="https://www.digikey.com/en/products/detail/lemo/ABF-00-250-NTA/3597367?_gl=1*10fobnu*_up*MQ..*_gs*MQ..&amp;gclid=Cj0KCQjwjJrCBhCXARIsAI5x66XitjM0gGOoE3YyfciIJcqr-rGgBhqkJ-cPWz31ksPBoKymYSUtMxsaAu2HEALw_wcB&amp;gclsrc=aw.ds&amp;gbraid=0AAAAADrbLljsbssiYFWvFn5jGghqVqdBV" xr:uid="{663FB75F-CF46-4283-9E98-CB7ABBFBD249}"/>
    <hyperlink ref="G12" r:id="rId20" display="https://www.digikey.com/en/products/detail/samtec-inc/MCX-J-P-H-RA-TH1/1832454?gclsrc=aw.ds&amp;gad_source=1&amp;gad_campaignid=17336967819&amp;gbraid=0AAAAADrbLlho8Dd-MWZdZ0R2JPfI0fRH-&amp;gclid=Cj0KCQjws83OBhD4ARIsACblj190il6j28v9UY0dAVtfIQtXWvnc2AVcP5nykMyLiV9a2Z74In5zGDoaArt3EALw_wcB" xr:uid="{1FF59D88-42F0-40FE-9BBB-852807C88882}"/>
    <hyperlink ref="G24" r:id="rId21" xr:uid="{A7BFFEA2-E0F6-4946-B991-344C9480813E}"/>
    <hyperlink ref="G25" r:id="rId22" xr:uid="{25A69607-1EC1-4990-A742-2CAC0DF207A2}"/>
    <hyperlink ref="G26" r:id="rId23" xr:uid="{C4307278-1D56-47CA-93B0-1BF9412CCE6E}"/>
    <hyperlink ref="G2" r:id="rId24" display="https://store-usa.arduino.cc/products/arduino-uno-rev3?utm_source=google&amp;utm_medium=cpc&amp;utm_campaign=US-Pmax&amp;gad_source=1&amp;gad_campaignid=21317508903&amp;gbraid=0AAAAACbEa84Tbj_a0H44vHpis86eaV8Pv&amp;gclid=Cj0KCQjwof_QBhCgARIsADaMzOdNDkvkWkXNT5olmVEk4sYA5OhcJjtMDrS0YDRrdo2Fa2A1SMGev08aAkfPEALw_wcB " xr:uid="{427CDE3E-1638-4521-818C-A8851D74A5CA}"/>
    <hyperlink ref="G32" r:id="rId25" xr:uid="{B7B95EFC-12E2-48CB-B888-6F120F9688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draft</vt:lpstr>
      <vt:lpstr>modular board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Ianniello, Carlotta</dc:creator>
  <cp:lastModifiedBy>Ianniello, Carlotta</cp:lastModifiedBy>
  <dcterms:created xsi:type="dcterms:W3CDTF">2025-06-09T15:56:14Z</dcterms:created>
  <dcterms:modified xsi:type="dcterms:W3CDTF">2026-06-03T15:06:46Z</dcterms:modified>
</cp:coreProperties>
</file>